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 Case Scoping" sheetId="1" r:id="rId4"/>
    <sheet state="visible" name="Configuration" sheetId="2" r:id="rId5"/>
  </sheets>
  <definedNames/>
  <calcPr/>
  <extLst>
    <ext uri="GoogleSheetsCustomDataVersion2">
      <go:sheetsCustomData xmlns:go="http://customooxmlschemas.google.com/" r:id="rId6" roundtripDataChecksum="pcYcJXJObYbQo5ggEsgCXQcGMh+ieoifZ0c/86iaak4="/>
    </ext>
  </extLst>
</workbook>
</file>

<file path=xl/sharedStrings.xml><?xml version="1.0" encoding="utf-8"?>
<sst xmlns="http://schemas.openxmlformats.org/spreadsheetml/2006/main" count="110" uniqueCount="90">
  <si>
    <t>USE CASE SCOPING TEMPLATE</t>
  </si>
  <si>
    <t>A. USE CASE OVERVIEW</t>
  </si>
  <si>
    <t>Use Case Name:</t>
  </si>
  <si>
    <t>Salesforce Assistant</t>
  </si>
  <si>
    <t>Function/Department:</t>
  </si>
  <si>
    <t>Sales</t>
  </si>
  <si>
    <t>Brief Description:</t>
  </si>
  <si>
    <t>Helps users update Salesforce records and get updates on Contacts/Accounts</t>
  </si>
  <si>
    <t>B. INSTRUCTION COMPLEXITY</t>
  </si>
  <si>
    <t>Instructions Type:</t>
  </si>
  <si>
    <t>Prompt + Integrations</t>
  </si>
  <si>
    <t>Prompt + Knowledge Base + Integrations + Features</t>
  </si>
  <si>
    <t>Number of Steps:</t>
  </si>
  <si>
    <t>Instruction Complexity:</t>
  </si>
  <si>
    <t>Simple (1-3 steps)</t>
  </si>
  <si>
    <t>Output Complexity:</t>
  </si>
  <si>
    <t>Medium</t>
  </si>
  <si>
    <t>Build Time (Instructions):</t>
  </si>
  <si>
    <t>C. KNOWLEDGE BASE REQUIREMENTS</t>
  </si>
  <si>
    <t>Needs Knowledge Base:</t>
  </si>
  <si>
    <t>Yes</t>
  </si>
  <si>
    <t>Client Has Files:</t>
  </si>
  <si>
    <t>Number of Existing Files:</t>
  </si>
  <si>
    <t>Files to Create:</t>
  </si>
  <si>
    <t>Build Time (KB Setup):</t>
  </si>
  <si>
    <t>Build Time (File Creation):</t>
  </si>
  <si>
    <t>D. SYSTEM INTEGRATIONS - PULL DATA (Read)</t>
  </si>
  <si>
    <t>Needs to Pull Data:</t>
  </si>
  <si>
    <t>System 1 Name:</t>
  </si>
  <si>
    <t>Salesforce</t>
  </si>
  <si>
    <t>Integration Complexity:</t>
  </si>
  <si>
    <t>Medium (needs work)</t>
  </si>
  <si>
    <t>Simple - Official Connector Exists
Medium - Community MCP
Complex - API but no MCP</t>
  </si>
  <si>
    <t>GPT Actions Needed:</t>
  </si>
  <si>
    <t>Build Time (System 1):</t>
  </si>
  <si>
    <t>System 2 Name:</t>
  </si>
  <si>
    <t>Google Drive</t>
  </si>
  <si>
    <t>Simple (API exists)</t>
  </si>
  <si>
    <t>Build Time (System 2):</t>
  </si>
  <si>
    <t>E. SYSTEM INTEGRATIONS - PUSH DATA (Write)</t>
  </si>
  <si>
    <t>Needs to Push Data:</t>
  </si>
  <si>
    <t>Type of Build</t>
  </si>
  <si>
    <t>Command Center, Workflow Automation, Custom Build</t>
  </si>
  <si>
    <t>F. TOTAL COMPLEXITY &amp; PRICING</t>
  </si>
  <si>
    <t>TOTAL BUILD TIME (Hours):</t>
  </si>
  <si>
    <t>COMPLEXITY RATING:</t>
  </si>
  <si>
    <t>ESTIMATED COST:</t>
  </si>
  <si>
    <t>G. BUSINESS VALUE ASSESSMENT</t>
  </si>
  <si>
    <t>Time Saved Per Use:</t>
  </si>
  <si>
    <t>Frequency of Use:</t>
  </si>
  <si>
    <t>Daily</t>
  </si>
  <si>
    <t>Number of Users:</t>
  </si>
  <si>
    <t>Value Tier:</t>
  </si>
  <si>
    <t>High Impact</t>
  </si>
  <si>
    <t>Strategic Value:</t>
  </si>
  <si>
    <t>H. PLATFORM COMPATIBILITY</t>
  </si>
  <si>
    <t>ChatGPT:</t>
  </si>
  <si>
    <t>Compatible</t>
  </si>
  <si>
    <t>Claude:</t>
  </si>
  <si>
    <t>Microsoft Copilot:</t>
  </si>
  <si>
    <t>Not Compatible</t>
  </si>
  <si>
    <t>Google Gemini:</t>
  </si>
  <si>
    <t>Needs Testing</t>
  </si>
  <si>
    <t>Notes on Limitations:</t>
  </si>
  <si>
    <t>I. ADDITIONAL CONSIDERATIONS</t>
  </si>
  <si>
    <t>Requires API Keys/Credentials</t>
  </si>
  <si>
    <t>Requires Legal/Security Review</t>
  </si>
  <si>
    <t>No</t>
  </si>
  <si>
    <t>Requires User Training Beyond Standard</t>
  </si>
  <si>
    <t>Requires Ongoing Maintenance</t>
  </si>
  <si>
    <t>Additional Notes:</t>
  </si>
  <si>
    <t>Configuration &amp; Assumptions</t>
  </si>
  <si>
    <t>Hourly Rates</t>
  </si>
  <si>
    <t>Standard Hourly Rate</t>
  </si>
  <si>
    <t>Complexity Tier Definitions</t>
  </si>
  <si>
    <t>Simple</t>
  </si>
  <si>
    <t>&lt; 8 hours</t>
  </si>
  <si>
    <t>8-20 hours</t>
  </si>
  <si>
    <t>Complex</t>
  </si>
  <si>
    <t>&gt; 20 hours</t>
  </si>
  <si>
    <t>Build Time Assumptions (hours)</t>
  </si>
  <si>
    <t>Simple Instructions (1-3 steps)</t>
  </si>
  <si>
    <t>Medium Instructions (4-7 steps)</t>
  </si>
  <si>
    <t>Complex Instructions (8+ steps)</t>
  </si>
  <si>
    <t>Knowledge Base - per file</t>
  </si>
  <si>
    <t>File Creation - per file</t>
  </si>
  <si>
    <t>Integration - Simple (API exists)</t>
  </si>
  <si>
    <t>Integration - Medium (needs work)</t>
  </si>
  <si>
    <t>Integration - Complex (custom build)</t>
  </si>
  <si>
    <t>GPT Action - per 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</si>
</sst>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&quot; hours&quot;"/>
    <numFmt numFmtId="165" formatCode="\$#,##0"/>
    <numFmt numFmtId="166" formatCode="0.0&quot; min&quot;"/>
  </numFmts>
  <fonts count="10">
    <font>
      <sz val="11.0"/>
      <color theme="1"/>
      <name val="Calibri"/>
      <scheme val="minor"/>
    </font>
    <font>
      <b/>
      <sz val="16.0"/>
      <color theme="1"/>
      <name val="Cambria"/>
    </font>
    <font>
      <b/>
      <sz val="12.0"/>
      <color rgb="FFFFFFFF"/>
      <name val="Cambria"/>
    </font>
    <font/>
    <font>
      <color theme="1"/>
      <name val="Calibri"/>
      <scheme val="minor"/>
    </font>
    <font>
      <sz val="11.0"/>
      <color rgb="FF0000FF"/>
      <name val="Cambria"/>
    </font>
    <font>
      <sz val="11.0"/>
      <color rgb="FF000000"/>
      <name val="Cambria"/>
    </font>
    <font>
      <b/>
      <sz val="11.0"/>
      <color theme="1"/>
      <name val="Cambria"/>
    </font>
    <font>
      <b/>
      <sz val="11.0"/>
      <color rgb="FF000000"/>
      <name val="Cambria"/>
    </font>
    <font>
      <b/>
      <sz val="14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F00"/>
        <bgColor rgb="FFFFFF0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0" fontId="5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1" xfId="0" applyAlignment="1" applyFont="1" applyNumberFormat="1">
      <alignment readingOrder="0" shrinkToFit="0" vertical="bottom" wrapText="0"/>
    </xf>
    <xf borderId="0" fillId="0" fontId="6" numFmtId="164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1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4" fillId="3" fontId="8" numFmtId="164" xfId="0" applyAlignment="1" applyBorder="1" applyFill="1" applyFont="1" applyNumberFormat="1">
      <alignment shrinkToFit="0" vertical="bottom" wrapText="0"/>
    </xf>
    <xf borderId="4" fillId="3" fontId="8" numFmtId="0" xfId="0" applyAlignment="1" applyBorder="1" applyFont="1">
      <alignment shrinkToFit="0" vertical="bottom" wrapText="0"/>
    </xf>
    <xf borderId="4" fillId="3" fontId="8" numFmtId="165" xfId="0" applyAlignment="1" applyBorder="1" applyFont="1" applyNumberFormat="1">
      <alignment shrinkToFit="0" vertical="bottom" wrapText="0"/>
    </xf>
    <xf borderId="0" fillId="0" fontId="5" numFmtId="166" xfId="0" applyAlignment="1" applyFont="1" applyNumberFormat="1">
      <alignment readingOrder="0" shrinkToFit="0" vertical="bottom" wrapText="0"/>
    </xf>
    <xf borderId="0" fillId="0" fontId="5" numFmtId="0" xfId="0" applyAlignment="1" applyFont="1">
      <alignment shrinkToFit="0" vertical="top" wrapText="1"/>
    </xf>
    <xf borderId="0" fillId="0" fontId="9" numFmtId="0" xfId="0" applyAlignment="1" applyFont="1">
      <alignment shrinkToFit="0" vertical="bottom" wrapText="0"/>
    </xf>
    <xf borderId="4" fillId="3" fontId="5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5.0"/>
    <col customWidth="1" min="3" max="6" width="15.0"/>
    <col customWidth="1" min="7" max="26" width="8.71"/>
  </cols>
  <sheetData>
    <row r="1">
      <c r="A1" s="1" t="s">
        <v>0</v>
      </c>
    </row>
    <row r="3">
      <c r="A3" s="2" t="s">
        <v>1</v>
      </c>
      <c r="B3" s="3"/>
      <c r="C3" s="3"/>
      <c r="D3" s="3"/>
      <c r="E3" s="3"/>
      <c r="F3" s="4"/>
    </row>
    <row r="4">
      <c r="A4" s="5" t="s">
        <v>2</v>
      </c>
      <c r="B4" s="6" t="s">
        <v>3</v>
      </c>
    </row>
    <row r="5">
      <c r="A5" s="5" t="s">
        <v>4</v>
      </c>
      <c r="B5" s="6" t="s">
        <v>5</v>
      </c>
    </row>
    <row r="6">
      <c r="A6" s="5" t="s">
        <v>6</v>
      </c>
      <c r="B6" s="6" t="s">
        <v>7</v>
      </c>
    </row>
    <row r="8">
      <c r="A8" s="2" t="s">
        <v>8</v>
      </c>
      <c r="B8" s="3"/>
      <c r="C8" s="3"/>
      <c r="D8" s="3"/>
      <c r="E8" s="3"/>
      <c r="F8" s="4"/>
    </row>
    <row r="9">
      <c r="A9" s="5" t="s">
        <v>9</v>
      </c>
      <c r="B9" s="6" t="s">
        <v>10</v>
      </c>
      <c r="C9" s="7" t="s">
        <v>11</v>
      </c>
    </row>
    <row r="10">
      <c r="A10" s="5" t="s">
        <v>12</v>
      </c>
      <c r="B10" s="8">
        <v>2.0</v>
      </c>
    </row>
    <row r="11">
      <c r="A11" s="5" t="s">
        <v>13</v>
      </c>
      <c r="B11" s="6" t="s">
        <v>14</v>
      </c>
    </row>
    <row r="12">
      <c r="A12" s="5" t="s">
        <v>15</v>
      </c>
      <c r="B12" s="6" t="s">
        <v>16</v>
      </c>
    </row>
    <row r="13">
      <c r="A13" s="5" t="s">
        <v>17</v>
      </c>
      <c r="B13" s="9">
        <f>IF(B11="Simple (1-3 steps)",Configuration!$B$12,IF(B11="Medium (4-7 steps)",Configuration!$B$13,IF(B11="Complex (8+ steps)",Configuration!$B$14,0)))</f>
        <v>3</v>
      </c>
    </row>
    <row r="15">
      <c r="A15" s="2" t="s">
        <v>18</v>
      </c>
      <c r="B15" s="3"/>
      <c r="C15" s="3"/>
      <c r="D15" s="3"/>
      <c r="E15" s="3"/>
      <c r="F15" s="4"/>
    </row>
    <row r="16">
      <c r="A16" s="5" t="s">
        <v>19</v>
      </c>
      <c r="B16" s="6" t="s">
        <v>20</v>
      </c>
    </row>
    <row r="17">
      <c r="A17" s="5" t="s">
        <v>21</v>
      </c>
      <c r="B17" s="6" t="s">
        <v>20</v>
      </c>
    </row>
    <row r="18">
      <c r="A18" s="5" t="s">
        <v>22</v>
      </c>
      <c r="B18" s="8">
        <v>2.0</v>
      </c>
    </row>
    <row r="19">
      <c r="A19" s="5" t="s">
        <v>23</v>
      </c>
      <c r="B19" s="8">
        <v>2.0</v>
      </c>
    </row>
    <row r="20">
      <c r="A20" s="5" t="s">
        <v>24</v>
      </c>
      <c r="B20" s="9">
        <f>IF(B16="Yes",B18*Configuration!$B$16,0)</f>
        <v>2</v>
      </c>
    </row>
    <row r="21" ht="15.75" customHeight="1">
      <c r="A21" s="5" t="s">
        <v>25</v>
      </c>
      <c r="B21" s="9">
        <f>B19*Configuration!$B$17</f>
        <v>4</v>
      </c>
    </row>
    <row r="22" ht="15.75" customHeight="1"/>
    <row r="23" ht="15.75" customHeight="1">
      <c r="A23" s="2" t="s">
        <v>26</v>
      </c>
      <c r="B23" s="3"/>
      <c r="C23" s="3"/>
      <c r="D23" s="3"/>
      <c r="E23" s="3"/>
      <c r="F23" s="4"/>
    </row>
    <row r="24" ht="15.75" customHeight="1">
      <c r="A24" s="5" t="s">
        <v>27</v>
      </c>
      <c r="B24" s="6" t="s">
        <v>20</v>
      </c>
    </row>
    <row r="25" ht="15.75" customHeight="1">
      <c r="A25" s="5" t="s">
        <v>28</v>
      </c>
      <c r="B25" s="6" t="s">
        <v>29</v>
      </c>
    </row>
    <row r="26" ht="15.75" customHeight="1">
      <c r="A26" s="5" t="s">
        <v>30</v>
      </c>
      <c r="B26" s="6" t="s">
        <v>31</v>
      </c>
      <c r="C26" s="7" t="s">
        <v>32</v>
      </c>
    </row>
    <row r="27" ht="15.75" customHeight="1">
      <c r="A27" s="5" t="s">
        <v>33</v>
      </c>
      <c r="B27" s="8">
        <v>1.0</v>
      </c>
    </row>
    <row r="28" ht="15.75" customHeight="1">
      <c r="A28" s="5" t="s">
        <v>34</v>
      </c>
      <c r="B28" s="9">
        <f>IF(B24="Yes",IF(B26="Simple (API exists)",Configuration!$B$19,IF(B26="Medium (needs work)",Configuration!$B$20,IF(B26="Complex (custom build)",Configuration!$B$21,0)))+B27*Configuration!$B$22,0)</f>
        <v>11</v>
      </c>
    </row>
    <row r="29" ht="15.75" customHeight="1">
      <c r="A29" s="5" t="s">
        <v>35</v>
      </c>
      <c r="B29" s="6" t="s">
        <v>36</v>
      </c>
    </row>
    <row r="30" ht="15.75" customHeight="1">
      <c r="A30" s="5" t="s">
        <v>30</v>
      </c>
      <c r="B30" s="6" t="s">
        <v>37</v>
      </c>
    </row>
    <row r="31" ht="15.75" customHeight="1">
      <c r="A31" s="5" t="s">
        <v>33</v>
      </c>
      <c r="B31" s="8">
        <v>0.0</v>
      </c>
    </row>
    <row r="32" ht="15.75" customHeight="1">
      <c r="A32" s="5" t="s">
        <v>38</v>
      </c>
      <c r="B32" s="9">
        <f>IF(LEN(B29)&gt;0,IF(B30="Simple (API exists)",Configuration!$B$19,IF(B30="Medium (needs work)",Configuration!$B$20,IF(B30="Complex (custom build)",Configuration!$B$21,0)))+B31*Configuration!$B$22,0)</f>
        <v>4</v>
      </c>
    </row>
    <row r="33" ht="15.75" customHeight="1"/>
    <row r="34" ht="15.75" customHeight="1">
      <c r="A34" s="2" t="s">
        <v>39</v>
      </c>
      <c r="B34" s="3"/>
      <c r="C34" s="3"/>
      <c r="D34" s="3"/>
      <c r="E34" s="3"/>
      <c r="F34" s="4"/>
    </row>
    <row r="35" ht="15.75" customHeight="1">
      <c r="A35" s="5" t="s">
        <v>40</v>
      </c>
      <c r="B35" s="6" t="s">
        <v>20</v>
      </c>
    </row>
    <row r="36" ht="15.75" customHeight="1">
      <c r="A36" s="5" t="s">
        <v>28</v>
      </c>
      <c r="B36" s="6" t="s">
        <v>29</v>
      </c>
    </row>
    <row r="37" ht="15.75" customHeight="1">
      <c r="A37" s="5" t="s">
        <v>30</v>
      </c>
      <c r="B37" s="6" t="s">
        <v>31</v>
      </c>
    </row>
    <row r="38" ht="15.75" customHeight="1">
      <c r="A38" s="5" t="s">
        <v>33</v>
      </c>
      <c r="B38" s="8">
        <v>1.0</v>
      </c>
    </row>
    <row r="39" ht="15.75" customHeight="1">
      <c r="A39" s="5" t="s">
        <v>34</v>
      </c>
      <c r="B39" s="9">
        <f>IF(B35="Yes",IF(B37="Simple (API exists)",Configuration!$B$19,IF(B37="Medium (needs work)",Configuration!$B$20,IF(B37="Complex (custom build)",Configuration!$B$21,0)))+B38*Configuration!$B$22,0)</f>
        <v>11</v>
      </c>
    </row>
    <row r="40" ht="15.75" customHeight="1">
      <c r="A40" s="5" t="s">
        <v>35</v>
      </c>
      <c r="B40" s="10"/>
    </row>
    <row r="41" ht="15.75" customHeight="1">
      <c r="A41" s="5" t="s">
        <v>30</v>
      </c>
      <c r="B41" s="10"/>
    </row>
    <row r="42" ht="15.75" customHeight="1">
      <c r="A42" s="5" t="s">
        <v>33</v>
      </c>
      <c r="B42" s="11"/>
    </row>
    <row r="43" ht="15.75" customHeight="1">
      <c r="A43" s="5" t="s">
        <v>38</v>
      </c>
      <c r="B43" s="9">
        <f>IF(LEN(B40)&gt;0,IF(B41="Simple (API exists)",Configuration!$B$19,IF(B41="Medium (needs work)",Configuration!$B$20,IF(B41="Complex (custom build)",Configuration!$B$21,0)))+B42*Configuration!$B$22,0)</f>
        <v>0</v>
      </c>
    </row>
    <row r="44" ht="15.75" customHeight="1"/>
    <row r="45" ht="15.75" customHeight="1">
      <c r="A45" s="7" t="s">
        <v>41</v>
      </c>
      <c r="B45" s="7" t="s">
        <v>42</v>
      </c>
    </row>
    <row r="46" ht="15.75" customHeight="1"/>
    <row r="47" ht="15.75" customHeight="1"/>
    <row r="48" ht="15.75" customHeight="1">
      <c r="A48" s="2" t="s">
        <v>43</v>
      </c>
      <c r="B48" s="3"/>
      <c r="C48" s="3"/>
      <c r="D48" s="3"/>
      <c r="E48" s="3"/>
      <c r="F48" s="4"/>
    </row>
    <row r="49" ht="15.75" customHeight="1">
      <c r="A49" s="12" t="s">
        <v>44</v>
      </c>
      <c r="B49" s="13">
        <f>B13+B20+B21+B28+B32+B39+B43</f>
        <v>35</v>
      </c>
    </row>
    <row r="50" ht="15.75" customHeight="1">
      <c r="A50" s="12" t="s">
        <v>45</v>
      </c>
      <c r="B50" s="14" t="str">
        <f>IF(B49&lt;8,"Simple",IF(B49&lt;=20,"Medium","Complex"))</f>
        <v>Complex</v>
      </c>
    </row>
    <row r="51" ht="15.75" customHeight="1">
      <c r="A51" s="12" t="s">
        <v>46</v>
      </c>
      <c r="B51" s="15">
        <f>B49*Configuration!$B$4</f>
        <v>5250</v>
      </c>
    </row>
    <row r="52" ht="15.75" customHeight="1"/>
    <row r="53" ht="15.75" customHeight="1">
      <c r="A53" s="2" t="s">
        <v>47</v>
      </c>
      <c r="B53" s="3"/>
      <c r="C53" s="3"/>
      <c r="D53" s="3"/>
      <c r="E53" s="3"/>
      <c r="F53" s="4"/>
    </row>
    <row r="54" ht="15.75" customHeight="1">
      <c r="A54" s="5" t="s">
        <v>48</v>
      </c>
      <c r="B54" s="16">
        <v>50.0</v>
      </c>
    </row>
    <row r="55" ht="15.75" customHeight="1">
      <c r="A55" s="5" t="s">
        <v>49</v>
      </c>
      <c r="B55" s="6" t="s">
        <v>50</v>
      </c>
    </row>
    <row r="56" ht="15.75" customHeight="1">
      <c r="A56" s="5" t="s">
        <v>51</v>
      </c>
      <c r="B56" s="8">
        <v>5.0</v>
      </c>
    </row>
    <row r="57" ht="15.75" customHeight="1">
      <c r="A57" s="5" t="s">
        <v>52</v>
      </c>
      <c r="B57" s="6" t="s">
        <v>53</v>
      </c>
    </row>
    <row r="58" ht="15.75" customHeight="1">
      <c r="A58" s="5" t="s">
        <v>54</v>
      </c>
      <c r="B58" s="10"/>
    </row>
    <row r="59" ht="15.75" customHeight="1"/>
    <row r="60" ht="15.75" customHeight="1">
      <c r="A60" s="2" t="s">
        <v>55</v>
      </c>
      <c r="B60" s="3"/>
      <c r="C60" s="3"/>
      <c r="D60" s="3"/>
      <c r="E60" s="3"/>
      <c r="F60" s="4"/>
    </row>
    <row r="61" ht="15.75" customHeight="1">
      <c r="A61" s="5" t="s">
        <v>56</v>
      </c>
      <c r="B61" s="6" t="s">
        <v>57</v>
      </c>
    </row>
    <row r="62" ht="15.75" customHeight="1">
      <c r="A62" s="5" t="s">
        <v>58</v>
      </c>
      <c r="B62" s="6" t="s">
        <v>57</v>
      </c>
    </row>
    <row r="63" ht="15.75" customHeight="1">
      <c r="A63" s="5" t="s">
        <v>59</v>
      </c>
      <c r="B63" s="6" t="s">
        <v>60</v>
      </c>
    </row>
    <row r="64" ht="15.75" customHeight="1">
      <c r="A64" s="5" t="s">
        <v>61</v>
      </c>
      <c r="B64" s="6" t="s">
        <v>62</v>
      </c>
    </row>
    <row r="65" ht="15.75" customHeight="1">
      <c r="A65" s="5" t="s">
        <v>63</v>
      </c>
      <c r="B65" s="10"/>
    </row>
    <row r="66" ht="15.75" customHeight="1"/>
    <row r="67" ht="15.75" customHeight="1">
      <c r="A67" s="2" t="s">
        <v>64</v>
      </c>
      <c r="B67" s="3"/>
      <c r="C67" s="3"/>
      <c r="D67" s="3"/>
      <c r="E67" s="3"/>
      <c r="F67" s="4"/>
    </row>
    <row r="68" ht="15.75" customHeight="1">
      <c r="A68" s="5" t="s">
        <v>65</v>
      </c>
      <c r="B68" s="6" t="s">
        <v>20</v>
      </c>
    </row>
    <row r="69" ht="15.75" customHeight="1">
      <c r="A69" s="5" t="s">
        <v>66</v>
      </c>
      <c r="B69" s="6" t="s">
        <v>67</v>
      </c>
    </row>
    <row r="70" ht="15.75" customHeight="1">
      <c r="A70" s="5" t="s">
        <v>68</v>
      </c>
      <c r="B70" s="6" t="s">
        <v>67</v>
      </c>
    </row>
    <row r="71" ht="15.75" customHeight="1">
      <c r="A71" s="5" t="s">
        <v>69</v>
      </c>
      <c r="B71" s="6" t="s">
        <v>20</v>
      </c>
    </row>
    <row r="72" ht="15.75" customHeight="1"/>
    <row r="73" ht="15.75" customHeight="1">
      <c r="A73" s="5" t="s">
        <v>70</v>
      </c>
      <c r="B73" s="17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4">
    <mergeCell ref="A48:F48"/>
    <mergeCell ref="A53:F53"/>
    <mergeCell ref="B58:F58"/>
    <mergeCell ref="A60:F60"/>
    <mergeCell ref="B65:F65"/>
    <mergeCell ref="A67:F67"/>
    <mergeCell ref="B73:F75"/>
    <mergeCell ref="A1:F1"/>
    <mergeCell ref="A3:F3"/>
    <mergeCell ref="B6:F6"/>
    <mergeCell ref="A8:F8"/>
    <mergeCell ref="A15:F15"/>
    <mergeCell ref="A23:F23"/>
    <mergeCell ref="A34:F34"/>
  </mergeCells>
  <dataValidations>
    <dataValidation type="list" allowBlank="1" sqref="B12">
      <formula1>"Simple,Medium,Complex"</formula1>
    </dataValidation>
    <dataValidation type="list" allowBlank="1" sqref="B11">
      <formula1>"Simple (1-3 steps),Medium (4-7 steps),Complex (8+ steps)"</formula1>
    </dataValidation>
    <dataValidation type="list" allowBlank="1" sqref="B26 B30 B37 B41">
      <formula1>"Simple (API exists),Medium (needs work),Complex (custom build),N/A"</formula1>
    </dataValidation>
    <dataValidation type="list" allowBlank="1" sqref="B17">
      <formula1>"Yes,No,Partial"</formula1>
    </dataValidation>
    <dataValidation type="list" allowBlank="1" sqref="B55">
      <formula1>"Daily,Weekly,Monthly"</formula1>
    </dataValidation>
    <dataValidation type="list" allowBlank="1" sqref="B57">
      <formula1>"High Impact,Medium Impact,Low Impact"</formula1>
    </dataValidation>
    <dataValidation type="list" allowBlank="1" sqref="B9">
      <formula1>"Prompt Only,Prompt + Integrations"</formula1>
    </dataValidation>
    <dataValidation type="list" allowBlank="1" sqref="B61:B64">
      <formula1>"Compatible,Not Compatible,Needs Testing"</formula1>
    </dataValidation>
    <dataValidation type="list" allowBlank="1" sqref="B16 B24 B35 B68:B71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20.0"/>
    <col customWidth="1" min="3" max="26" width="8.71"/>
  </cols>
  <sheetData>
    <row r="1">
      <c r="A1" s="18" t="s">
        <v>71</v>
      </c>
    </row>
    <row r="3">
      <c r="A3" s="12" t="s">
        <v>72</v>
      </c>
    </row>
    <row r="4">
      <c r="A4" s="5" t="s">
        <v>73</v>
      </c>
      <c r="B4" s="19">
        <v>150.0</v>
      </c>
    </row>
    <row r="6">
      <c r="A6" s="12" t="s">
        <v>74</v>
      </c>
    </row>
    <row r="7">
      <c r="A7" s="5" t="s">
        <v>75</v>
      </c>
      <c r="B7" s="5" t="s">
        <v>76</v>
      </c>
    </row>
    <row r="8">
      <c r="A8" s="5" t="s">
        <v>16</v>
      </c>
      <c r="B8" s="5" t="s">
        <v>77</v>
      </c>
    </row>
    <row r="9">
      <c r="A9" s="5" t="s">
        <v>78</v>
      </c>
      <c r="B9" s="5" t="s">
        <v>79</v>
      </c>
    </row>
    <row r="11">
      <c r="A11" s="12" t="s">
        <v>80</v>
      </c>
    </row>
    <row r="12">
      <c r="A12" s="5" t="s">
        <v>81</v>
      </c>
      <c r="B12" s="10">
        <v>3.0</v>
      </c>
    </row>
    <row r="13">
      <c r="A13" s="5" t="s">
        <v>82</v>
      </c>
      <c r="B13" s="10">
        <v>6.0</v>
      </c>
    </row>
    <row r="14">
      <c r="A14" s="5" t="s">
        <v>83</v>
      </c>
      <c r="B14" s="10">
        <v>10.0</v>
      </c>
    </row>
    <row r="16">
      <c r="A16" s="5" t="s">
        <v>84</v>
      </c>
      <c r="B16" s="10">
        <v>1.0</v>
      </c>
    </row>
    <row r="17">
      <c r="A17" s="5" t="s">
        <v>85</v>
      </c>
      <c r="B17" s="10">
        <v>2.0</v>
      </c>
    </row>
    <row r="19">
      <c r="A19" s="5" t="s">
        <v>86</v>
      </c>
      <c r="B19" s="10">
        <v>4.0</v>
      </c>
    </row>
    <row r="20">
      <c r="A20" s="5" t="s">
        <v>87</v>
      </c>
      <c r="B20" s="10">
        <v>8.0</v>
      </c>
    </row>
    <row r="21" ht="15.75" customHeight="1">
      <c r="A21" s="5" t="s">
        <v>88</v>
      </c>
      <c r="B21" s="10">
        <v>15.0</v>
      </c>
    </row>
    <row r="22" ht="15.75" customHeight="1">
      <c r="A22" s="5" t="s">
        <v>89</v>
      </c>
      <c r="B22" s="10">
        <v>3.0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2025-10-19T23:40:09Z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